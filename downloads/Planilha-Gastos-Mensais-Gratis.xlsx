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<sst xmlns="http://schemas.openxmlformats.org/spreadsheetml/2006/main" count="36" uniqueCount="31">
  <si>
    <t xml:space="preserve">Planilha de Gastos Mensais (versão grátis)</t>
  </si>
  <si>
    <t xml:space="preserve">Digite só nas células amarelas. As brancas calculam sozinhas.</t>
  </si>
  <si>
    <t xml:space="preserve">Mês</t>
  </si>
  <si>
    <t xml:space="preserve">2026-11</t>
  </si>
  <si>
    <t xml:space="preserve">Exemplo fictício: apague e coloque seus valores.</t>
  </si>
  <si>
    <t xml:space="preserve">RENDA</t>
  </si>
  <si>
    <t xml:space="preserve">Previsto</t>
  </si>
  <si>
    <t xml:space="preserve">Real</t>
  </si>
  <si>
    <t xml:space="preserve">Diferença</t>
  </si>
  <si>
    <t xml:space="preserve">Salário</t>
  </si>
  <si>
    <t xml:space="preserve">Renda extra</t>
  </si>
  <si>
    <t xml:space="preserve">Outras</t>
  </si>
  <si>
    <t xml:space="preserve">Total de renda</t>
  </si>
  <si>
    <t xml:space="preserve">DESPESAS</t>
  </si>
  <si>
    <t xml:space="preserve">Pago?</t>
  </si>
  <si>
    <t xml:space="preserve">Aluguel / financiamento</t>
  </si>
  <si>
    <t xml:space="preserve">Contas (luz, água, internet)</t>
  </si>
  <si>
    <t xml:space="preserve">Mercado</t>
  </si>
  <si>
    <t xml:space="preserve">Transporte</t>
  </si>
  <si>
    <t xml:space="preserve">Saúde</t>
  </si>
  <si>
    <t xml:space="preserve">Educação</t>
  </si>
  <si>
    <t xml:space="preserve">Lazer</t>
  </si>
  <si>
    <t xml:space="preserve">Assinaturas</t>
  </si>
  <si>
    <t xml:space="preserve">Compras</t>
  </si>
  <si>
    <t xml:space="preserve">Outros</t>
  </si>
  <si>
    <t xml:space="preserve">Total de despesas</t>
  </si>
  <si>
    <t xml:space="preserve">Sobra do mês</t>
  </si>
  <si>
    <t xml:space="preserve">Taxa de economia</t>
  </si>
  <si>
    <t xml:space="preserve">Quer 12 meses, painel com gráficos, metas e checklist de contas? Versão completa:</t>
  </si>
  <si>
    <t xml:space="preserve">https://araujo19con.github.io/questaodiaria/planilhas/#orcamento</t>
  </si>
  <si>
    <t xml:space="preserve">Feita por Gabriel Araujo de Lima · Questão Diária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</si>
</sst>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;[RED]&quot;-R$ &quot;#,##0.0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mbria"/>
      <family val="0"/>
      <charset val="1"/>
    </font>
    <font>
      <i val="true"/>
      <sz val="11"/>
      <color rgb="FF5B6475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8A939E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5B6475"/>
      <name val="Cambria"/>
      <family val="0"/>
      <charset val="1"/>
    </font>
    <font>
      <b val="true"/>
      <sz val="12"/>
      <color rgb="FF1F3A5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1F3A5F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sz val="9"/>
      <color rgb="FF8A939E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E8EEF5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B23A4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23A48"/>
      <rgbColor rgb="FFFFF7D6"/>
      <rgbColor rgb="FFE8EEF5"/>
      <rgbColor rgb="FF660066"/>
      <rgbColor rgb="FFFF8080"/>
      <rgbColor rgb="FF0563C1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5"/>
      <rgbColor rgb="FF8A939E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aujo19con.github.io/questaodiaria/planilha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4</v>
      </c>
    </row>
    <row r="5" customFormat="false" ht="15" hidden="false" customHeight="false" outlineLevel="0" collapsed="false">
      <c r="A5" s="6" t="s">
        <v>5</v>
      </c>
      <c r="B5" s="7" t="s">
        <v>6</v>
      </c>
      <c r="C5" s="7" t="s">
        <v>7</v>
      </c>
      <c r="D5" s="7" t="s">
        <v>8</v>
      </c>
    </row>
    <row r="6" customFormat="false" ht="15" hidden="false" customHeight="false" outlineLevel="0" collapsed="false">
      <c r="A6" s="4" t="s">
        <v>9</v>
      </c>
      <c r="B6" s="8" t="n">
        <v>3500</v>
      </c>
      <c r="C6" s="8" t="n">
        <v>3500</v>
      </c>
      <c r="D6" s="9" t="n">
        <f aca="false">C6-B6</f>
        <v>0</v>
      </c>
    </row>
    <row r="7" customFormat="false" ht="15" hidden="false" customHeight="false" outlineLevel="0" collapsed="false">
      <c r="A7" s="4" t="s">
        <v>10</v>
      </c>
      <c r="B7" s="8" t="n">
        <v>500</v>
      </c>
      <c r="C7" s="8" t="n">
        <v>420</v>
      </c>
      <c r="D7" s="9" t="n">
        <f aca="false">C7-B7</f>
        <v>-80</v>
      </c>
    </row>
    <row r="8" customFormat="false" ht="15" hidden="false" customHeight="false" outlineLevel="0" collapsed="false">
      <c r="A8" s="4" t="s">
        <v>11</v>
      </c>
      <c r="B8" s="8" t="n">
        <v>0</v>
      </c>
      <c r="C8" s="8" t="n">
        <v>0</v>
      </c>
      <c r="D8" s="9" t="n">
        <f aca="false">C8-B8</f>
        <v>0</v>
      </c>
    </row>
    <row r="9" customFormat="false" ht="15" hidden="false" customHeight="false" outlineLevel="0" collapsed="false">
      <c r="A9" s="10" t="s">
        <v>12</v>
      </c>
      <c r="B9" s="11" t="n">
        <f aca="false">SUM(B6:B8)</f>
        <v>4000</v>
      </c>
      <c r="C9" s="11" t="n">
        <f aca="false">SUM(C6:C8)</f>
        <v>3920</v>
      </c>
      <c r="D9" s="11" t="n">
        <f aca="false">SUM(D6:D8)</f>
        <v>-80</v>
      </c>
    </row>
    <row r="11" customFormat="false" ht="15" hidden="false" customHeight="false" outlineLevel="0" collapsed="false">
      <c r="A11" s="6" t="s">
        <v>13</v>
      </c>
      <c r="B11" s="7" t="s">
        <v>6</v>
      </c>
      <c r="C11" s="7" t="s">
        <v>7</v>
      </c>
      <c r="D11" s="7" t="s">
        <v>8</v>
      </c>
      <c r="E11" s="12" t="s">
        <v>14</v>
      </c>
    </row>
    <row r="12" customFormat="false" ht="15" hidden="false" customHeight="false" outlineLevel="0" collapsed="false">
      <c r="A12" s="4" t="s">
        <v>15</v>
      </c>
      <c r="B12" s="8" t="n">
        <v>1200</v>
      </c>
      <c r="C12" s="8" t="n">
        <v>1200</v>
      </c>
      <c r="D12" s="9" t="n">
        <f aca="false">B12-C12</f>
        <v>0</v>
      </c>
      <c r="E12" s="13"/>
    </row>
    <row r="13" customFormat="false" ht="15" hidden="false" customHeight="false" outlineLevel="0" collapsed="false">
      <c r="A13" s="4" t="s">
        <v>16</v>
      </c>
      <c r="B13" s="8" t="n">
        <v>350</v>
      </c>
      <c r="C13" s="8" t="n">
        <v>372</v>
      </c>
      <c r="D13" s="9" t="n">
        <f aca="false">B13-C13</f>
        <v>-22</v>
      </c>
      <c r="E13" s="13"/>
    </row>
    <row r="14" customFormat="false" ht="15" hidden="false" customHeight="false" outlineLevel="0" collapsed="false">
      <c r="A14" s="4" t="s">
        <v>17</v>
      </c>
      <c r="B14" s="8" t="n">
        <v>800</v>
      </c>
      <c r="C14" s="8" t="n">
        <v>845</v>
      </c>
      <c r="D14" s="9" t="n">
        <f aca="false">B14-C14</f>
        <v>-45</v>
      </c>
      <c r="E14" s="13"/>
    </row>
    <row r="15" customFormat="false" ht="15" hidden="false" customHeight="false" outlineLevel="0" collapsed="false">
      <c r="A15" s="4" t="s">
        <v>18</v>
      </c>
      <c r="B15" s="8" t="n">
        <v>300</v>
      </c>
      <c r="C15" s="8" t="n">
        <v>280</v>
      </c>
      <c r="D15" s="9" t="n">
        <f aca="false">B15-C15</f>
        <v>20</v>
      </c>
      <c r="E15" s="13"/>
    </row>
    <row r="16" customFormat="false" ht="15" hidden="false" customHeight="false" outlineLevel="0" collapsed="false">
      <c r="A16" s="4" t="s">
        <v>19</v>
      </c>
      <c r="B16" s="8" t="n">
        <v>150</v>
      </c>
      <c r="C16" s="8" t="n">
        <v>90</v>
      </c>
      <c r="D16" s="9" t="n">
        <f aca="false">B16-C16</f>
        <v>60</v>
      </c>
      <c r="E16" s="13"/>
    </row>
    <row r="17" customFormat="false" ht="15" hidden="false" customHeight="false" outlineLevel="0" collapsed="false">
      <c r="A17" s="4" t="s">
        <v>20</v>
      </c>
      <c r="B17" s="8" t="n">
        <v>200</v>
      </c>
      <c r="C17" s="8" t="n">
        <v>200</v>
      </c>
      <c r="D17" s="9" t="n">
        <f aca="false">B17-C17</f>
        <v>0</v>
      </c>
      <c r="E17" s="13"/>
    </row>
    <row r="18" customFormat="false" ht="15" hidden="false" customHeight="false" outlineLevel="0" collapsed="false">
      <c r="A18" s="4" t="s">
        <v>21</v>
      </c>
      <c r="B18" s="8" t="n">
        <v>250</v>
      </c>
      <c r="C18" s="8" t="n">
        <v>310</v>
      </c>
      <c r="D18" s="9" t="n">
        <f aca="false">B18-C18</f>
        <v>-60</v>
      </c>
      <c r="E18" s="13"/>
    </row>
    <row r="19" customFormat="false" ht="15" hidden="false" customHeight="false" outlineLevel="0" collapsed="false">
      <c r="A19" s="4" t="s">
        <v>22</v>
      </c>
      <c r="B19" s="8" t="n">
        <v>60</v>
      </c>
      <c r="C19" s="8" t="n">
        <v>60</v>
      </c>
      <c r="D19" s="9" t="n">
        <f aca="false">B19-C19</f>
        <v>0</v>
      </c>
      <c r="E19" s="13"/>
    </row>
    <row r="20" customFormat="false" ht="15" hidden="false" customHeight="false" outlineLevel="0" collapsed="false">
      <c r="A20" s="4" t="s">
        <v>23</v>
      </c>
      <c r="B20" s="8" t="n">
        <v>200</v>
      </c>
      <c r="C20" s="8" t="n">
        <v>150</v>
      </c>
      <c r="D20" s="9" t="n">
        <f aca="false">B20-C20</f>
        <v>50</v>
      </c>
      <c r="E20" s="13"/>
    </row>
    <row r="21" customFormat="false" ht="15" hidden="false" customHeight="false" outlineLevel="0" collapsed="false">
      <c r="A21" s="4" t="s">
        <v>24</v>
      </c>
      <c r="B21" s="8" t="n">
        <v>100</v>
      </c>
      <c r="C21" s="8" t="n">
        <v>75</v>
      </c>
      <c r="D21" s="9" t="n">
        <f aca="false">B21-C21</f>
        <v>25</v>
      </c>
      <c r="E21" s="13"/>
    </row>
    <row r="22" customFormat="false" ht="15" hidden="false" customHeight="false" outlineLevel="0" collapsed="false">
      <c r="A22" s="10" t="s">
        <v>25</v>
      </c>
      <c r="B22" s="11" t="n">
        <f aca="false">SUM(B12:B21)</f>
        <v>3610</v>
      </c>
      <c r="C22" s="11" t="n">
        <f aca="false">SUM(C12:C21)</f>
        <v>3582</v>
      </c>
      <c r="D22" s="11" t="n">
        <f aca="false">SUM(D12:D21)</f>
        <v>28</v>
      </c>
    </row>
    <row r="23" customFormat="false" ht="15" hidden="false" customHeight="false" outlineLevel="0" collapsed="false">
      <c r="B23" s="14" t="s">
        <v>6</v>
      </c>
      <c r="C23" s="14" t="s">
        <v>7</v>
      </c>
    </row>
    <row r="24" customFormat="false" ht="15" hidden="false" customHeight="false" outlineLevel="0" collapsed="false">
      <c r="A24" s="15" t="s">
        <v>26</v>
      </c>
      <c r="B24" s="16" t="n">
        <f aca="false">B9-B22</f>
        <v>390</v>
      </c>
      <c r="C24" s="16" t="n">
        <f aca="false">C9-C22</f>
        <v>338</v>
      </c>
    </row>
    <row r="25" customFormat="false" ht="15" hidden="false" customHeight="false" outlineLevel="0" collapsed="false">
      <c r="A25" s="15" t="s">
        <v>27</v>
      </c>
      <c r="B25" s="17" t="n">
        <f aca="false">IF(B9=0,0,B24/B9)</f>
        <v>0.0975</v>
      </c>
      <c r="C25" s="17" t="n">
        <f aca="false">IF(C9=0,0,C24/C9)</f>
        <v>0.0862244897959184</v>
      </c>
    </row>
    <row r="27" customFormat="false" ht="15" hidden="false" customHeight="false" outlineLevel="0" collapsed="false">
      <c r="A27" s="18" t="s">
        <v>28</v>
      </c>
    </row>
    <row r="28" customFormat="false" ht="15" hidden="false" customHeight="false" outlineLevel="0" collapsed="false">
      <c r="A28" s="19" t="s">
        <v>29</v>
      </c>
    </row>
    <row r="30" customFormat="false" ht="15" hidden="false" customHeight="false" outlineLevel="0" collapsed="false">
      <c r="A30" s="20" t="s">
        <v>30</v>
      </c>
    </row>
  </sheetData>
  <conditionalFormatting sqref="D12:D21">
    <cfRule type="cellIs" priority="2" operator="lessThan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E12:E21" type="list">
      <formula1>"Sim,Não"</formula1>
      <formula2>0</formula2>
    </dataValidation>
  </dataValidations>
  <hyperlinks>
    <hyperlink ref="A28" r:id="rId1" location="orcamento" display="https://araujo19con.github.io/questaodiaria/planilhas/#orcamen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2026-10-17T12:45:35Z</dcterms:created>
  <dc:creator>Gabriel Araujo de Lima</dc:creator>
  <dc:description/>
  <dc:language>en-US</dc:language>
  <cp:lastModifiedBy/>
  <dcterms:modified xsi:type="dcterms:W3CDTF">2026-10-17T12:45:35Z</dcterms:modified>
  <cp:revision>0</cp:revision>
  <dc:subject/>
  <dc:title>Planilha de Gastos Mensais (versão grátis)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